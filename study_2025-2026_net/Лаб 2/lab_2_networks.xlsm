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study\"/>
    </mc:Choice>
  </mc:AlternateContent>
  <xr:revisionPtr revIDLastSave="0" documentId="13_ncr:1_{690FA6E0-C945-4781-853E-D02CF8CD4181}" xr6:coauthVersionLast="47" xr6:coauthVersionMax="47" xr10:uidLastSave="{00000000-0000-0000-0000-000000000000}"/>
  <bookViews>
    <workbookView xWindow="-108" yWindow="-108" windowWidth="23256" windowHeight="12576" xr2:uid="{7F22BE01-3784-4DE7-BE46-634A3EA85D98}"/>
  </bookViews>
  <sheets>
    <sheet name="Лист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" i="1" l="1"/>
  <c r="H24" i="1"/>
  <c r="AD8" i="1"/>
  <c r="AD7" i="1"/>
  <c r="AD6" i="1"/>
  <c r="AD5" i="1"/>
  <c r="AD4" i="1"/>
  <c r="AD3" i="1"/>
  <c r="H7" i="1"/>
  <c r="H6" i="1"/>
  <c r="H4" i="1"/>
  <c r="H3" i="1"/>
  <c r="H2" i="1"/>
  <c r="B21" i="1" a="1"/>
  <c r="B22" i="1" a="1"/>
  <c r="B21" i="1" l="1"/>
  <c r="B22" i="1"/>
  <c r="E22" i="1"/>
  <c r="E21" i="1"/>
  <c r="E23" i="1"/>
  <c r="E25" i="1"/>
  <c r="E26" i="1"/>
  <c r="C24" i="1" a="1"/>
  <c r="B25" i="1" a="1"/>
  <c r="F25" i="1" a="1"/>
  <c r="D23" i="1" a="1"/>
  <c r="B24" i="1" a="1"/>
  <c r="D22" i="1" a="1"/>
  <c r="D25" i="1" a="1"/>
  <c r="G25" i="1" a="1"/>
  <c r="B26" i="1" a="1"/>
  <c r="F22" i="1" a="1"/>
  <c r="D24" i="1" a="1"/>
  <c r="G22" i="1" a="1"/>
  <c r="G21" i="1" a="1"/>
  <c r="G24" i="1" a="1"/>
  <c r="C22" i="1" a="1"/>
  <c r="C26" i="1" a="1"/>
  <c r="C23" i="1" a="1"/>
  <c r="G26" i="1" a="1"/>
  <c r="G23" i="1" a="1"/>
  <c r="C21" i="1" a="1"/>
  <c r="F24" i="1" a="1"/>
  <c r="B23" i="1" a="1"/>
  <c r="C25" i="1" a="1"/>
  <c r="D26" i="1" a="1"/>
  <c r="D21" i="1" a="1"/>
  <c r="F23" i="1" a="1"/>
  <c r="F26" i="1" a="1"/>
  <c r="D21" i="1" l="1"/>
  <c r="C21" i="1"/>
  <c r="H21" i="1" s="1"/>
  <c r="I21" i="1" s="1"/>
  <c r="C22" i="1"/>
  <c r="G21" i="1"/>
  <c r="G22" i="1"/>
  <c r="F22" i="1"/>
  <c r="D22" i="1"/>
  <c r="G25" i="1"/>
  <c r="C25" i="1"/>
  <c r="G23" i="1"/>
  <c r="C23" i="1"/>
  <c r="F25" i="1"/>
  <c r="B25" i="1"/>
  <c r="D24" i="1"/>
  <c r="F23" i="1"/>
  <c r="D26" i="1"/>
  <c r="B23" i="1"/>
  <c r="G26" i="1"/>
  <c r="C26" i="1"/>
  <c r="G24" i="1"/>
  <c r="C24" i="1"/>
  <c r="F26" i="1"/>
  <c r="B26" i="1"/>
  <c r="H26" i="1" s="1"/>
  <c r="I26" i="1" s="1"/>
  <c r="D25" i="1"/>
  <c r="F24" i="1"/>
  <c r="B24" i="1"/>
  <c r="D23" i="1"/>
  <c r="H25" i="1" l="1"/>
  <c r="I25" i="1" s="1"/>
  <c r="H22" i="1"/>
  <c r="I22" i="1" s="1"/>
  <c r="I24" i="1"/>
  <c r="H23" i="1"/>
  <c r="I23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<sst xmlns="http://schemas.openxmlformats.org/spreadsheetml/2006/main" count="114" uniqueCount="41">
  <si>
    <t>1.</t>
  </si>
  <si>
    <t>2.</t>
  </si>
  <si>
    <t>3.</t>
  </si>
  <si>
    <t>4.</t>
  </si>
  <si>
    <t>5.</t>
  </si>
  <si>
    <t>6.</t>
  </si>
  <si>
    <t>№</t>
  </si>
  <si>
    <t>Сегмент 1</t>
  </si>
  <si>
    <t>Сегмент 2</t>
  </si>
  <si>
    <t>Сегмент 3</t>
  </si>
  <si>
    <t>Сегмент 4</t>
  </si>
  <si>
    <t>Сегмент 5</t>
  </si>
  <si>
    <t>Сегмент 6</t>
  </si>
  <si>
    <t>Общая длина</t>
  </si>
  <si>
    <t>Пара терминалов с интерфейсами TX</t>
  </si>
  <si>
    <t>Сегмент на витой паре категории 5 (100 м)</t>
  </si>
  <si>
    <t>Сегмент на витой паре категории 5 (5 м)</t>
  </si>
  <si>
    <t xml:space="preserve">Повторитель класса II </t>
  </si>
  <si>
    <t xml:space="preserve">Компонент пути </t>
  </si>
  <si>
    <t>Время двойного оборота, би</t>
  </si>
  <si>
    <t>Время двойного оборота для наихудшего пути</t>
  </si>
  <si>
    <t>+ запасные биты</t>
  </si>
  <si>
    <t>Диаметр домена коллизий</t>
  </si>
  <si>
    <t xml:space="preserve"> </t>
  </si>
  <si>
    <t>100BASE-TX,5 м</t>
  </si>
  <si>
    <t>100BASE-TX,96 м</t>
  </si>
  <si>
    <t>100BASE-TX,92 м</t>
  </si>
  <si>
    <t>100BASE-TX,80 м</t>
  </si>
  <si>
    <t>100BASE-TX,97 м</t>
  </si>
  <si>
    <t>100BASE-TX,95 м</t>
  </si>
  <si>
    <t>100BASE-TX,85 м</t>
  </si>
  <si>
    <t>100BASE-TX,90 м</t>
  </si>
  <si>
    <t>100BASE-TX,98 м</t>
  </si>
  <si>
    <t>100BASE-TX,60 м</t>
  </si>
  <si>
    <t>100BASE-TX,10 м</t>
  </si>
  <si>
    <t>100BASE-TX,100 м</t>
  </si>
  <si>
    <t>100BASE-TX,70 м</t>
  </si>
  <si>
    <t>100BASE-TX,65 м</t>
  </si>
  <si>
    <t>100BASE-TX,4 м</t>
  </si>
  <si>
    <t>100BASE-TX,15 м</t>
  </si>
  <si>
    <t>100BASE-TX,9 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</si>
</sst>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theme="7" tint="-0.249977111117893"/>
      <name val="Calibri"/>
      <family val="2"/>
      <charset val="204"/>
      <scheme val="minor"/>
    </font>
    <font>
      <sz val="11"/>
      <color theme="7" tint="0.79998168889431442"/>
      <name val="Calibri"/>
      <family val="2"/>
      <charset val="20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E8404C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7C8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0" borderId="1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2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2" borderId="4" xfId="0" applyFill="1" applyBorder="1"/>
    <xf numFmtId="0" fontId="0" fillId="2" borderId="3" xfId="0" applyFill="1" applyBorder="1"/>
    <xf numFmtId="0" fontId="0" fillId="2" borderId="1" xfId="0" applyFill="1" applyBorder="1"/>
    <xf numFmtId="0" fontId="0" fillId="2" borderId="5" xfId="0" applyFill="1" applyBorder="1"/>
    <xf numFmtId="0" fontId="0" fillId="4" borderId="1" xfId="0" applyFill="1" applyBorder="1"/>
    <xf numFmtId="0" fontId="0" fillId="3" borderId="7" xfId="0" applyFill="1" applyBorder="1"/>
    <xf numFmtId="0" fontId="0" fillId="3" borderId="3" xfId="0" applyFill="1" applyBorder="1"/>
    <xf numFmtId="0" fontId="0" fillId="3" borderId="1" xfId="0" applyFill="1" applyBorder="1"/>
    <xf numFmtId="0" fontId="0" fillId="3" borderId="8" xfId="0" applyFill="1" applyBorder="1"/>
    <xf numFmtId="0" fontId="0" fillId="0" borderId="9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2" xfId="0" applyBorder="1" applyAlignment="1">
      <alignment horizontal="right"/>
    </xf>
    <xf numFmtId="0" fontId="0" fillId="0" borderId="6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5" xfId="0" applyBorder="1" applyAlignment="1">
      <alignment horizontal="right"/>
    </xf>
    <xf numFmtId="0" fontId="0" fillId="0" borderId="0" xfId="0" applyAlignment="1">
      <alignment horizontal="right"/>
    </xf>
    <xf numFmtId="0" fontId="0" fillId="5" borderId="6" xfId="0" applyFill="1" applyBorder="1" applyAlignment="1">
      <alignment horizontal="right"/>
    </xf>
    <xf numFmtId="0" fontId="0" fillId="6" borderId="4" xfId="0" applyFill="1" applyBorder="1" applyAlignment="1">
      <alignment horizontal="right"/>
    </xf>
    <xf numFmtId="0" fontId="0" fillId="6" borderId="1" xfId="0" applyFill="1" applyBorder="1"/>
    <xf numFmtId="0" fontId="0" fillId="0" borderId="1" xfId="0" applyBorder="1" applyAlignment="1">
      <alignment horizontal="right"/>
    </xf>
    <xf numFmtId="0" fontId="0" fillId="6" borderId="3" xfId="0" applyFill="1" applyBorder="1"/>
    <xf numFmtId="0" fontId="4" fillId="6" borderId="1" xfId="0" applyFont="1" applyFill="1" applyBorder="1"/>
    <xf numFmtId="0" fontId="0" fillId="6" borderId="5" xfId="0" applyFill="1" applyBorder="1" applyAlignment="1">
      <alignment horizontal="right"/>
    </xf>
    <xf numFmtId="0" fontId="4" fillId="6" borderId="3" xfId="0" applyFont="1" applyFill="1" applyBorder="1"/>
    <xf numFmtId="0" fontId="0" fillId="5" borderId="4" xfId="0" applyFill="1" applyBorder="1" applyAlignment="1">
      <alignment horizontal="right"/>
    </xf>
    <xf numFmtId="0" fontId="0" fillId="5" borderId="3" xfId="0" applyFill="1" applyBorder="1"/>
    <xf numFmtId="0" fontId="3" fillId="5" borderId="1" xfId="0" applyFont="1" applyFill="1" applyBorder="1"/>
    <xf numFmtId="0" fontId="0" fillId="5" borderId="1" xfId="0" applyFill="1" applyBorder="1"/>
    <xf numFmtId="0" fontId="3" fillId="5" borderId="7" xfId="0" applyFont="1" applyFill="1" applyBorder="1"/>
    <xf numFmtId="0" fontId="0" fillId="5" borderId="8" xfId="0" applyFill="1" applyBorder="1"/>
    <xf numFmtId="0" fontId="3" fillId="5" borderId="8" xfId="0" applyFont="1" applyFill="1" applyBorder="1"/>
    <xf numFmtId="0" fontId="0" fillId="5" borderId="12" xfId="0" applyFill="1" applyBorder="1"/>
    <xf numFmtId="0" fontId="2" fillId="5" borderId="1" xfId="0" applyFont="1" applyFill="1" applyBorder="1"/>
    <xf numFmtId="0" fontId="2" fillId="5" borderId="3" xfId="0" applyFont="1" applyFill="1" applyBorder="1"/>
    <xf numFmtId="0" fontId="0" fillId="5" borderId="1" xfId="0" applyFill="1" applyBorder="1" applyAlignment="1">
      <alignment horizontal="right"/>
    </xf>
    <xf numFmtId="0" fontId="2" fillId="6" borderId="1" xfId="0" applyFont="1" applyFill="1" applyBorder="1"/>
    <xf numFmtId="0" fontId="0" fillId="5" borderId="3" xfId="0" applyFill="1" applyBorder="1" applyAlignment="1">
      <alignment horizontal="right"/>
    </xf>
    <xf numFmtId="0" fontId="2" fillId="6" borderId="3" xfId="0" applyFont="1" applyFill="1" applyBorder="1"/>
    <xf numFmtId="0" fontId="2" fillId="6" borderId="4" xfId="0" applyFont="1" applyFill="1" applyBorder="1" applyAlignment="1">
      <alignment horizontal="right"/>
    </xf>
    <xf numFmtId="0" fontId="2" fillId="6" borderId="5" xfId="0" applyFont="1" applyFill="1" applyBorder="1" applyAlignment="1">
      <alignment horizontal="right"/>
    </xf>
    <xf numFmtId="0" fontId="0" fillId="5" borderId="7" xfId="0" applyFill="1" applyBorder="1" applyAlignment="1">
      <alignment horizontal="right"/>
    </xf>
    <xf numFmtId="0" fontId="0" fillId="5" borderId="8" xfId="0" applyFill="1" applyBorder="1" applyAlignment="1">
      <alignment horizontal="right"/>
    </xf>
    <xf numFmtId="0" fontId="0" fillId="0" borderId="10" xfId="0" applyBorder="1" applyAlignment="1">
      <alignment wrapText="1"/>
    </xf>
    <xf numFmtId="0" fontId="0" fillId="0" borderId="11" xfId="0" quotePrefix="1" applyBorder="1" applyAlignment="1">
      <alignment vertic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FF7C80"/>
      <color rgb="FFCCFFCC"/>
      <color rgb="FFCC99FF"/>
      <color rgb="FFE8404C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8DA0F9-BC7C-4F8C-972C-5D1F2526177E}">
  <sheetPr codeName="Лист1"/>
  <dimension ref="A1:AD35"/>
  <sheetViews>
    <sheetView tabSelected="1" topLeftCell="J3" zoomScale="99" zoomScaleNormal="132" workbookViewId="0">
      <selection activeCell="P19" sqref="P19"/>
    </sheetView>
  </sheetViews>
  <sheetFormatPr defaultRowHeight="14.4" x14ac:dyDescent="0.3"/>
  <cols>
    <col min="1" max="1" width="3.77734375" style="27" customWidth="1"/>
    <col min="2" max="7" width="9.77734375" customWidth="1"/>
    <col min="8" max="8" width="27.77734375" customWidth="1"/>
    <col min="9" max="9" width="15.88671875" bestFit="1" customWidth="1"/>
    <col min="10" max="10" width="40.44140625" customWidth="1"/>
    <col min="11" max="11" width="27.21875" customWidth="1"/>
    <col min="13" max="13" width="3.21875" bestFit="1" customWidth="1"/>
    <col min="14" max="14" width="3.109375" bestFit="1" customWidth="1"/>
    <col min="15" max="19" width="15.21875" bestFit="1" customWidth="1"/>
    <col min="20" max="20" width="16.21875" bestFit="1" customWidth="1"/>
  </cols>
  <sheetData>
    <row r="1" spans="1:30" ht="15" thickBot="1" x14ac:dyDescent="0.35">
      <c r="A1" s="23" t="s">
        <v>6</v>
      </c>
      <c r="B1" s="8" t="s">
        <v>7</v>
      </c>
      <c r="C1" s="9" t="s">
        <v>8</v>
      </c>
      <c r="D1" s="9" t="s">
        <v>9</v>
      </c>
      <c r="E1" s="9" t="s">
        <v>10</v>
      </c>
      <c r="F1" s="9" t="s">
        <v>11</v>
      </c>
      <c r="G1" s="9" t="s">
        <v>12</v>
      </c>
      <c r="H1" s="10" t="s">
        <v>22</v>
      </c>
    </row>
    <row r="2" spans="1:30" ht="15" thickBot="1" x14ac:dyDescent="0.35">
      <c r="A2" s="28" t="s">
        <v>0</v>
      </c>
      <c r="B2" s="40">
        <v>96</v>
      </c>
      <c r="C2" s="41">
        <v>92</v>
      </c>
      <c r="D2" s="41">
        <v>80</v>
      </c>
      <c r="E2" s="42">
        <v>5</v>
      </c>
      <c r="F2" s="41">
        <v>97</v>
      </c>
      <c r="G2" s="42">
        <v>97</v>
      </c>
      <c r="H2" s="43">
        <f>SUM(B2,E2,G2)</f>
        <v>198</v>
      </c>
      <c r="W2" s="7" t="s">
        <v>6</v>
      </c>
      <c r="X2" s="8" t="s">
        <v>7</v>
      </c>
      <c r="Y2" s="9" t="s">
        <v>8</v>
      </c>
      <c r="Z2" s="9" t="s">
        <v>9</v>
      </c>
      <c r="AA2" s="9" t="s">
        <v>10</v>
      </c>
      <c r="AB2" s="9" t="s">
        <v>11</v>
      </c>
      <c r="AC2" s="9" t="s">
        <v>12</v>
      </c>
      <c r="AD2" s="10" t="s">
        <v>13</v>
      </c>
    </row>
    <row r="3" spans="1:30" x14ac:dyDescent="0.3">
      <c r="A3" s="29" t="s">
        <v>1</v>
      </c>
      <c r="B3" s="35">
        <v>95</v>
      </c>
      <c r="C3" s="30">
        <v>85</v>
      </c>
      <c r="D3" s="30">
        <v>85</v>
      </c>
      <c r="E3" s="33">
        <v>90</v>
      </c>
      <c r="F3" s="30">
        <v>90</v>
      </c>
      <c r="G3" s="33">
        <v>98</v>
      </c>
      <c r="H3" s="30">
        <f>SUM(B3,E3,G3)</f>
        <v>283</v>
      </c>
      <c r="W3" s="4" t="s">
        <v>0</v>
      </c>
      <c r="X3" s="5">
        <v>96</v>
      </c>
      <c r="Y3" s="6">
        <v>92</v>
      </c>
      <c r="Z3" s="6">
        <v>80</v>
      </c>
      <c r="AA3" s="6">
        <v>5</v>
      </c>
      <c r="AB3" s="6">
        <v>97</v>
      </c>
      <c r="AC3" s="6">
        <v>97</v>
      </c>
      <c r="AD3" s="11">
        <f t="shared" ref="AD3:AD8" si="0">SUM(X3:AC3)</f>
        <v>467</v>
      </c>
    </row>
    <row r="4" spans="1:30" x14ac:dyDescent="0.3">
      <c r="A4" s="36" t="s">
        <v>2</v>
      </c>
      <c r="B4" s="37">
        <v>60</v>
      </c>
      <c r="C4" s="38">
        <v>95</v>
      </c>
      <c r="D4" s="39">
        <v>10</v>
      </c>
      <c r="E4" s="38">
        <v>5</v>
      </c>
      <c r="F4" s="39">
        <v>90</v>
      </c>
      <c r="G4" s="38">
        <v>100</v>
      </c>
      <c r="H4" s="39">
        <f>SUM(C4,E4,G4)</f>
        <v>200</v>
      </c>
      <c r="W4" s="12" t="s">
        <v>1</v>
      </c>
      <c r="X4" s="13">
        <v>95</v>
      </c>
      <c r="Y4" s="14">
        <v>85</v>
      </c>
      <c r="Z4" s="14">
        <v>85</v>
      </c>
      <c r="AA4" s="14">
        <v>90</v>
      </c>
      <c r="AB4" s="14">
        <v>90</v>
      </c>
      <c r="AC4" s="14">
        <v>98</v>
      </c>
      <c r="AD4" s="14">
        <f t="shared" si="0"/>
        <v>543</v>
      </c>
    </row>
    <row r="5" spans="1:30" x14ac:dyDescent="0.3">
      <c r="A5" s="36" t="s">
        <v>3</v>
      </c>
      <c r="B5" s="45">
        <v>70</v>
      </c>
      <c r="C5" s="39">
        <v>65</v>
      </c>
      <c r="D5" s="39">
        <v>10</v>
      </c>
      <c r="E5" s="44">
        <v>4</v>
      </c>
      <c r="F5" s="38">
        <v>90</v>
      </c>
      <c r="G5" s="38">
        <v>80</v>
      </c>
      <c r="H5" s="39">
        <f>SUM(F5,G5)</f>
        <v>170</v>
      </c>
      <c r="W5" s="3" t="s">
        <v>2</v>
      </c>
      <c r="X5" s="2">
        <v>60</v>
      </c>
      <c r="Y5" s="1">
        <v>95</v>
      </c>
      <c r="Z5" s="1">
        <v>10</v>
      </c>
      <c r="AA5" s="1">
        <v>5</v>
      </c>
      <c r="AB5" s="1">
        <v>90</v>
      </c>
      <c r="AC5" s="1">
        <v>100</v>
      </c>
      <c r="AD5" s="1">
        <f t="shared" si="0"/>
        <v>360</v>
      </c>
    </row>
    <row r="6" spans="1:30" x14ac:dyDescent="0.3">
      <c r="A6" s="29" t="s">
        <v>4</v>
      </c>
      <c r="B6" s="32">
        <v>60</v>
      </c>
      <c r="C6" s="33">
        <v>95</v>
      </c>
      <c r="D6" s="30">
        <v>10</v>
      </c>
      <c r="E6" s="33">
        <v>15</v>
      </c>
      <c r="F6" s="30">
        <v>90</v>
      </c>
      <c r="G6" s="33">
        <v>100</v>
      </c>
      <c r="H6" s="30">
        <f>SUM(C6,E6,G6)</f>
        <v>210</v>
      </c>
      <c r="W6" s="3" t="s">
        <v>3</v>
      </c>
      <c r="X6" s="2">
        <v>70</v>
      </c>
      <c r="Y6" s="1">
        <v>65</v>
      </c>
      <c r="Z6" s="1">
        <v>10</v>
      </c>
      <c r="AA6" s="1">
        <v>4</v>
      </c>
      <c r="AB6" s="1">
        <v>90</v>
      </c>
      <c r="AC6" s="1">
        <v>80</v>
      </c>
      <c r="AD6" s="1">
        <f t="shared" si="0"/>
        <v>319</v>
      </c>
    </row>
    <row r="7" spans="1:30" ht="15" thickBot="1" x14ac:dyDescent="0.35">
      <c r="A7" s="34" t="s">
        <v>5</v>
      </c>
      <c r="B7" s="32">
        <v>70</v>
      </c>
      <c r="C7" s="33">
        <v>98</v>
      </c>
      <c r="D7" s="30">
        <v>10</v>
      </c>
      <c r="E7" s="33">
        <v>9</v>
      </c>
      <c r="F7" s="30">
        <v>70</v>
      </c>
      <c r="G7" s="33">
        <v>100</v>
      </c>
      <c r="H7" s="30">
        <f>SUM(C7,E7,G7)</f>
        <v>207</v>
      </c>
      <c r="W7" s="12" t="s">
        <v>4</v>
      </c>
      <c r="X7" s="13">
        <v>60</v>
      </c>
      <c r="Y7" s="14">
        <v>95</v>
      </c>
      <c r="Z7" s="14">
        <v>10</v>
      </c>
      <c r="AA7" s="14">
        <v>15</v>
      </c>
      <c r="AB7" s="14">
        <v>90</v>
      </c>
      <c r="AC7" s="14">
        <v>100</v>
      </c>
      <c r="AD7" s="14">
        <f t="shared" si="0"/>
        <v>370</v>
      </c>
    </row>
    <row r="8" spans="1:30" ht="15" thickBot="1" x14ac:dyDescent="0.35">
      <c r="W8" s="15" t="s">
        <v>5</v>
      </c>
      <c r="X8" s="13">
        <v>70</v>
      </c>
      <c r="Y8" s="14">
        <v>98</v>
      </c>
      <c r="Z8" s="14">
        <v>10</v>
      </c>
      <c r="AA8" s="14">
        <v>9</v>
      </c>
      <c r="AB8" s="14">
        <v>70</v>
      </c>
      <c r="AC8" s="14">
        <v>100</v>
      </c>
      <c r="AD8" s="14">
        <f t="shared" si="0"/>
        <v>357</v>
      </c>
    </row>
    <row r="9" spans="1:30" x14ac:dyDescent="0.3">
      <c r="H9" t="s">
        <v>23</v>
      </c>
    </row>
    <row r="10" spans="1:30" ht="15" thickBot="1" x14ac:dyDescent="0.35"/>
    <row r="11" spans="1:30" ht="15" thickBot="1" x14ac:dyDescent="0.35">
      <c r="A11" s="23" t="s">
        <v>6</v>
      </c>
      <c r="B11" s="8" t="s">
        <v>7</v>
      </c>
      <c r="C11" s="9" t="s">
        <v>8</v>
      </c>
      <c r="D11" s="9" t="s">
        <v>9</v>
      </c>
      <c r="E11" s="9" t="s">
        <v>10</v>
      </c>
      <c r="F11" s="9" t="s">
        <v>11</v>
      </c>
      <c r="G11" s="9" t="s">
        <v>12</v>
      </c>
      <c r="J11" s="1" t="s">
        <v>18</v>
      </c>
      <c r="K11" s="1" t="s">
        <v>19</v>
      </c>
      <c r="N11" s="23" t="s">
        <v>6</v>
      </c>
      <c r="O11" s="8" t="s">
        <v>7</v>
      </c>
      <c r="P11" s="9" t="s">
        <v>8</v>
      </c>
      <c r="Q11" s="9" t="s">
        <v>9</v>
      </c>
      <c r="R11" s="9" t="s">
        <v>10</v>
      </c>
      <c r="S11" s="9" t="s">
        <v>11</v>
      </c>
      <c r="T11" s="10" t="s">
        <v>12</v>
      </c>
    </row>
    <row r="12" spans="1:30" x14ac:dyDescent="0.3">
      <c r="A12" s="24" t="s">
        <v>0</v>
      </c>
      <c r="B12" s="17">
        <v>96</v>
      </c>
      <c r="C12" s="6">
        <v>92</v>
      </c>
      <c r="D12" s="6">
        <v>80</v>
      </c>
      <c r="E12" s="6">
        <v>5</v>
      </c>
      <c r="F12" s="20">
        <v>97</v>
      </c>
      <c r="G12" s="20">
        <v>97</v>
      </c>
      <c r="J12" s="1" t="s">
        <v>14</v>
      </c>
      <c r="K12" s="1">
        <v>100</v>
      </c>
      <c r="N12" s="24" t="s">
        <v>0</v>
      </c>
      <c r="O12" s="5" t="s">
        <v>25</v>
      </c>
      <c r="P12" s="6" t="s">
        <v>26</v>
      </c>
      <c r="Q12" s="6" t="s">
        <v>27</v>
      </c>
      <c r="R12" s="6" t="s">
        <v>24</v>
      </c>
      <c r="S12" s="6" t="s">
        <v>28</v>
      </c>
      <c r="T12" s="6" t="s">
        <v>28</v>
      </c>
    </row>
    <row r="13" spans="1:30" x14ac:dyDescent="0.3">
      <c r="A13" s="25" t="s">
        <v>1</v>
      </c>
      <c r="B13" s="18">
        <v>95</v>
      </c>
      <c r="C13" s="1">
        <v>85</v>
      </c>
      <c r="D13" s="1">
        <v>85</v>
      </c>
      <c r="E13" s="1">
        <v>90</v>
      </c>
      <c r="F13" s="1">
        <v>90</v>
      </c>
      <c r="G13" s="19">
        <v>98</v>
      </c>
      <c r="J13" s="1" t="s">
        <v>15</v>
      </c>
      <c r="K13" s="1">
        <v>111.2</v>
      </c>
      <c r="N13" s="25" t="s">
        <v>1</v>
      </c>
      <c r="O13" s="2" t="s">
        <v>29</v>
      </c>
      <c r="P13" s="1" t="s">
        <v>30</v>
      </c>
      <c r="Q13" s="1" t="s">
        <v>30</v>
      </c>
      <c r="R13" s="1" t="s">
        <v>31</v>
      </c>
      <c r="S13" s="1" t="s">
        <v>31</v>
      </c>
      <c r="T13" s="1" t="s">
        <v>32</v>
      </c>
    </row>
    <row r="14" spans="1:30" x14ac:dyDescent="0.3">
      <c r="A14" s="25" t="s">
        <v>2</v>
      </c>
      <c r="B14" s="2">
        <v>60</v>
      </c>
      <c r="C14" s="19">
        <v>95</v>
      </c>
      <c r="D14" s="1">
        <v>10</v>
      </c>
      <c r="E14" s="1">
        <v>5</v>
      </c>
      <c r="F14" s="1">
        <v>90</v>
      </c>
      <c r="G14" s="19">
        <v>100</v>
      </c>
      <c r="J14" s="1" t="s">
        <v>15</v>
      </c>
      <c r="K14" s="1">
        <v>111.2</v>
      </c>
      <c r="N14" s="25" t="s">
        <v>2</v>
      </c>
      <c r="O14" s="2" t="s">
        <v>33</v>
      </c>
      <c r="P14" s="1" t="s">
        <v>29</v>
      </c>
      <c r="Q14" s="1" t="s">
        <v>34</v>
      </c>
      <c r="R14" s="1" t="s">
        <v>24</v>
      </c>
      <c r="S14" s="1" t="s">
        <v>31</v>
      </c>
      <c r="T14" s="1" t="s">
        <v>35</v>
      </c>
    </row>
    <row r="15" spans="1:30" x14ac:dyDescent="0.3">
      <c r="A15" s="25" t="s">
        <v>3</v>
      </c>
      <c r="B15" s="2">
        <v>70</v>
      </c>
      <c r="C15" s="1">
        <v>65</v>
      </c>
      <c r="D15" s="1">
        <v>10</v>
      </c>
      <c r="E15" s="1">
        <v>4</v>
      </c>
      <c r="F15" s="19">
        <v>90</v>
      </c>
      <c r="G15" s="19">
        <v>80</v>
      </c>
      <c r="J15" s="1" t="s">
        <v>16</v>
      </c>
      <c r="K15" s="1">
        <v>5.56</v>
      </c>
      <c r="N15" s="25" t="s">
        <v>3</v>
      </c>
      <c r="O15" s="2" t="s">
        <v>36</v>
      </c>
      <c r="P15" s="1" t="s">
        <v>37</v>
      </c>
      <c r="Q15" s="1" t="s">
        <v>34</v>
      </c>
      <c r="R15" s="1" t="s">
        <v>38</v>
      </c>
      <c r="S15" s="1" t="s">
        <v>31</v>
      </c>
      <c r="T15" s="1" t="s">
        <v>27</v>
      </c>
    </row>
    <row r="16" spans="1:30" x14ac:dyDescent="0.3">
      <c r="A16" s="25" t="s">
        <v>4</v>
      </c>
      <c r="B16" s="2">
        <v>60</v>
      </c>
      <c r="C16" s="19">
        <v>95</v>
      </c>
      <c r="D16" s="1">
        <v>10</v>
      </c>
      <c r="E16" s="1">
        <v>15</v>
      </c>
      <c r="F16" s="1">
        <v>90</v>
      </c>
      <c r="G16" s="19">
        <v>100</v>
      </c>
      <c r="J16" s="1" t="s">
        <v>17</v>
      </c>
      <c r="K16" s="1">
        <v>92</v>
      </c>
      <c r="N16" s="25" t="s">
        <v>4</v>
      </c>
      <c r="O16" s="2" t="s">
        <v>33</v>
      </c>
      <c r="P16" s="1" t="s">
        <v>29</v>
      </c>
      <c r="Q16" s="1" t="s">
        <v>34</v>
      </c>
      <c r="R16" s="1" t="s">
        <v>39</v>
      </c>
      <c r="S16" s="1" t="s">
        <v>31</v>
      </c>
      <c r="T16" s="1" t="s">
        <v>35</v>
      </c>
    </row>
    <row r="17" spans="1:20" ht="15" thickBot="1" x14ac:dyDescent="0.35">
      <c r="A17" s="26" t="s">
        <v>5</v>
      </c>
      <c r="B17" s="2">
        <v>70</v>
      </c>
      <c r="C17" s="19">
        <v>98</v>
      </c>
      <c r="D17" s="16">
        <v>10</v>
      </c>
      <c r="E17" s="1">
        <v>9</v>
      </c>
      <c r="F17" s="1">
        <v>70</v>
      </c>
      <c r="G17" s="19">
        <v>100</v>
      </c>
      <c r="J17" s="1" t="s">
        <v>17</v>
      </c>
      <c r="K17" s="1">
        <v>92</v>
      </c>
      <c r="N17" s="26" t="s">
        <v>5</v>
      </c>
      <c r="O17" s="2" t="s">
        <v>36</v>
      </c>
      <c r="P17" s="1" t="s">
        <v>32</v>
      </c>
      <c r="Q17" s="1" t="s">
        <v>34</v>
      </c>
      <c r="R17" s="1" t="s">
        <v>40</v>
      </c>
      <c r="S17" s="1" t="s">
        <v>36</v>
      </c>
      <c r="T17" s="1" t="s">
        <v>35</v>
      </c>
    </row>
    <row r="19" spans="1:20" ht="15" thickBot="1" x14ac:dyDescent="0.35"/>
    <row r="20" spans="1:20" ht="27.6" customHeight="1" thickBot="1" x14ac:dyDescent="0.35">
      <c r="A20" s="23" t="s">
        <v>6</v>
      </c>
      <c r="B20" s="21" t="s">
        <v>7</v>
      </c>
      <c r="C20" s="22" t="s">
        <v>8</v>
      </c>
      <c r="D20" s="22" t="s">
        <v>9</v>
      </c>
      <c r="E20" s="22" t="s">
        <v>10</v>
      </c>
      <c r="F20" s="22" t="s">
        <v>11</v>
      </c>
      <c r="G20" s="22" t="s">
        <v>12</v>
      </c>
      <c r="H20" s="54" t="s">
        <v>20</v>
      </c>
      <c r="I20" s="55" t="s">
        <v>21</v>
      </c>
    </row>
    <row r="21" spans="1:20" x14ac:dyDescent="0.3">
      <c r="A21" s="28" t="s">
        <v>0</v>
      </c>
      <c r="B21" s="52" cm="1">
        <f t="array" ref="B21">IF(ЦВЕТЯЧЕЙКА(B12),B12*1.112,"")</f>
        <v>106.75200000000001</v>
      </c>
      <c r="C21" s="53" t="str" cm="1">
        <f t="array" ref="C21">IF(ЦВЕТЯЧЕЙКА(C12),C12*1.112,"")</f>
        <v/>
      </c>
      <c r="D21" s="53" t="str" cm="1">
        <f t="array" ref="D21">IF(ЦВЕТЯЧЕЙКА(D12),D12*1.112,"")</f>
        <v/>
      </c>
      <c r="E21" s="53">
        <f>PRODUCT(E12,1.112)</f>
        <v>5.5600000000000005</v>
      </c>
      <c r="F21" s="53"/>
      <c r="G21" s="53" cm="1">
        <f t="array" ref="G21">IF(ЦВЕТЯЧЕЙКА(G12),G12*1.112,"")</f>
        <v>107.864</v>
      </c>
      <c r="H21" s="53">
        <f>SUM(B21:G21,$K$12,$K$16,$K$17)</f>
        <v>504.17600000000004</v>
      </c>
      <c r="I21" s="53">
        <f t="shared" ref="I21:I26" si="1">H21+4</f>
        <v>508.17600000000004</v>
      </c>
    </row>
    <row r="22" spans="1:20" x14ac:dyDescent="0.3">
      <c r="A22" s="29" t="s">
        <v>1</v>
      </c>
      <c r="B22" s="49" cm="1">
        <f t="array" ref="B22">IF(ЦВЕТЯЧЕЙКА(B13),B13*1.112,"")</f>
        <v>105.64000000000001</v>
      </c>
      <c r="C22" s="47" t="str" cm="1">
        <f t="array" ref="C22">IF(ЦВЕТЯЧЕЙКА(C13),C13*1.112,"")</f>
        <v/>
      </c>
      <c r="D22" s="47" t="str" cm="1">
        <f t="array" ref="D22">IF(ЦВЕТЯЧЕЙКА(D13),D13*1.112,"")</f>
        <v/>
      </c>
      <c r="E22" s="47">
        <f>PRODUCT(E13,1.112)</f>
        <v>100.08000000000001</v>
      </c>
      <c r="F22" s="47" t="str" cm="1">
        <f t="array" ref="F22">IF(ЦВЕТЯЧЕЙКА(F13),F13*1.112,"")</f>
        <v/>
      </c>
      <c r="G22" s="47" cm="1">
        <f t="array" ref="G22">IF(ЦВЕТЯЧЕЙКА(G13),G13*1.112,"")</f>
        <v>108.97600000000001</v>
      </c>
      <c r="H22" s="47">
        <f>SUM(B22:G22,$K$12,$K$16,$K$17)</f>
        <v>598.69600000000003</v>
      </c>
      <c r="I22" s="30">
        <f t="shared" si="1"/>
        <v>602.69600000000003</v>
      </c>
    </row>
    <row r="23" spans="1:20" x14ac:dyDescent="0.3">
      <c r="A23" s="36" t="s">
        <v>2</v>
      </c>
      <c r="B23" s="48" t="str" cm="1">
        <f t="array" ref="B23">IF(ЦВЕТЯЧЕЙКА(B14),B14*1.112,"")</f>
        <v/>
      </c>
      <c r="C23" s="46" cm="1">
        <f t="array" ref="C23">IF(ЦВЕТЯЧЕЙКА(C14),C14*1.112,"")</f>
        <v>105.64000000000001</v>
      </c>
      <c r="D23" s="46" t="str" cm="1">
        <f t="array" ref="D23">IF(ЦВЕТЯЧЕЙКА(D14),D14*1.112,"")</f>
        <v/>
      </c>
      <c r="E23" s="46">
        <f>PRODUCT(E14,1.112)</f>
        <v>5.5600000000000005</v>
      </c>
      <c r="F23" s="46" t="str" cm="1">
        <f t="array" ref="F23">IF(ЦВЕТЯЧЕЙКА(F14),F14*1.112,"")</f>
        <v/>
      </c>
      <c r="G23" s="46" cm="1">
        <f t="array" ref="G23">IF(ЦВЕТЯЧЕЙКА(G14),G14*1.112,"")</f>
        <v>111.20000000000002</v>
      </c>
      <c r="H23" s="46">
        <f>SUM(B23:G23,$K$12,$K$16,$K$17)</f>
        <v>506.40000000000003</v>
      </c>
      <c r="I23" s="46">
        <f t="shared" si="1"/>
        <v>510.40000000000003</v>
      </c>
    </row>
    <row r="24" spans="1:20" x14ac:dyDescent="0.3">
      <c r="A24" s="36" t="s">
        <v>3</v>
      </c>
      <c r="B24" s="48" t="str" cm="1">
        <f t="array" ref="B24">IF(ЦВЕТЯЧЕЙКА(B15),B15*1.112,"")</f>
        <v/>
      </c>
      <c r="C24" s="46" t="str" cm="1">
        <f t="array" ref="C24">IF(ЦВЕТЯЧЕЙКА(C15),C15*1.112,"")</f>
        <v/>
      </c>
      <c r="D24" s="46" t="str" cm="1">
        <f t="array" ref="D24">IF(ЦВЕТЯЧЕЙКА(D15),D15*1.112,"")</f>
        <v/>
      </c>
      <c r="E24" s="46"/>
      <c r="F24" s="46" cm="1">
        <f t="array" ref="F24">IF(ЦВЕТЯЧЕЙКА(F15),F15*1.112,"")</f>
        <v>100.08000000000001</v>
      </c>
      <c r="G24" s="46" cm="1">
        <f t="array" ref="G24">IF(ЦВЕТЯЧЕЙКА(G15),G15*1.112,"")</f>
        <v>88.960000000000008</v>
      </c>
      <c r="H24" s="46">
        <f>SUM(B24:G24,$K$12,$K$16)</f>
        <v>381.04</v>
      </c>
      <c r="I24" s="46">
        <f t="shared" si="1"/>
        <v>385.04</v>
      </c>
    </row>
    <row r="25" spans="1:20" x14ac:dyDescent="0.3">
      <c r="A25" s="50" t="s">
        <v>4</v>
      </c>
      <c r="B25" s="49" t="str" cm="1">
        <f t="array" ref="B25">IF(ЦВЕТЯЧЕЙКА(B16),B16*1.112,"")</f>
        <v/>
      </c>
      <c r="C25" s="47" cm="1">
        <f t="array" ref="C25">IF(ЦВЕТЯЧЕЙКА(C16),C16*1.112,"")</f>
        <v>105.64000000000001</v>
      </c>
      <c r="D25" s="47" t="str" cm="1">
        <f t="array" ref="D25">IF(ЦВЕТЯЧЕЙКА(D16),D16*1.112,"")</f>
        <v/>
      </c>
      <c r="E25" s="47">
        <f>PRODUCT(E16,1.112)</f>
        <v>16.68</v>
      </c>
      <c r="F25" s="47" t="str" cm="1">
        <f t="array" ref="F25">IF(ЦВЕТЯЧЕЙКА(F16),F16*1.112,"")</f>
        <v/>
      </c>
      <c r="G25" s="47" cm="1">
        <f t="array" ref="G25">IF(ЦВЕТЯЧЕЙКА(G16),G16*1.112,"")</f>
        <v>111.20000000000002</v>
      </c>
      <c r="H25" s="47">
        <f>SUM(B25:G25,$K$12,$K$16,$K$17)</f>
        <v>517.52</v>
      </c>
      <c r="I25" s="47">
        <f t="shared" si="1"/>
        <v>521.52</v>
      </c>
    </row>
    <row r="26" spans="1:20" ht="15" thickBot="1" x14ac:dyDescent="0.35">
      <c r="A26" s="51" t="s">
        <v>5</v>
      </c>
      <c r="B26" s="49" t="str" cm="1">
        <f t="array" ref="B26">IF(ЦВЕТЯЧЕЙКА(B17),B17*1.112,"")</f>
        <v/>
      </c>
      <c r="C26" s="47" cm="1">
        <f t="array" ref="C26">IF(ЦВЕТЯЧЕЙКА(C17),C17*1.112,"")</f>
        <v>108.97600000000001</v>
      </c>
      <c r="D26" s="47" t="str" cm="1">
        <f t="array" ref="D26">IF(ЦВЕТЯЧЕЙКА(D17),D17*1.112,"")</f>
        <v/>
      </c>
      <c r="E26" s="47">
        <f>PRODUCT(E17,1.112)</f>
        <v>10.008000000000001</v>
      </c>
      <c r="F26" s="47" t="str" cm="1">
        <f t="array" ref="F26">IF(ЦВЕТЯЧЕЙКА(F17),F17*1.112,"")</f>
        <v/>
      </c>
      <c r="G26" s="47" cm="1">
        <f t="array" ref="G26">IF(ЦВЕТЯЧЕЙКА(G17),G17*1.112,"")</f>
        <v>111.20000000000002</v>
      </c>
      <c r="H26" s="47">
        <f>SUM(B26:G26,$K$12,$K$16,$K$17)</f>
        <v>514.18399999999997</v>
      </c>
      <c r="I26" s="47">
        <f t="shared" si="1"/>
        <v>518.18399999999997</v>
      </c>
    </row>
    <row r="29" spans="1:20" x14ac:dyDescent="0.3">
      <c r="A29" s="31"/>
      <c r="B29" s="1"/>
      <c r="C29" s="1"/>
      <c r="D29" s="1"/>
      <c r="E29" s="1"/>
      <c r="F29" s="1"/>
      <c r="G29" s="1"/>
    </row>
    <row r="30" spans="1:20" x14ac:dyDescent="0.3">
      <c r="A30" s="31"/>
      <c r="B30" s="1"/>
      <c r="C30" s="1"/>
      <c r="D30" s="1"/>
      <c r="E30" s="1"/>
      <c r="F30" s="1"/>
      <c r="G30" s="1"/>
    </row>
    <row r="31" spans="1:20" x14ac:dyDescent="0.3">
      <c r="A31" s="31"/>
      <c r="B31" s="1"/>
      <c r="C31" s="1"/>
      <c r="D31" s="1"/>
      <c r="E31" s="1"/>
      <c r="F31" s="1"/>
      <c r="G31" s="1"/>
    </row>
    <row r="32" spans="1:20" x14ac:dyDescent="0.3">
      <c r="A32" s="31"/>
      <c r="B32" s="1"/>
      <c r="C32" s="1"/>
      <c r="D32" s="1"/>
      <c r="E32" s="1"/>
      <c r="F32" s="1"/>
      <c r="G32" s="1"/>
    </row>
    <row r="33" spans="1:7" x14ac:dyDescent="0.3">
      <c r="A33" s="31"/>
      <c r="B33" s="1"/>
      <c r="C33" s="1"/>
      <c r="D33" s="1"/>
      <c r="E33" s="1"/>
      <c r="F33" s="1"/>
      <c r="G33" s="1"/>
    </row>
    <row r="34" spans="1:7" x14ac:dyDescent="0.3">
      <c r="A34" s="31"/>
      <c r="B34" s="1"/>
      <c r="C34" s="1"/>
      <c r="D34" s="1"/>
      <c r="E34" s="1"/>
      <c r="F34" s="1"/>
      <c r="G34" s="1"/>
    </row>
    <row r="35" spans="1:7" x14ac:dyDescent="0.3">
      <c r="A35" s="31"/>
      <c r="B35" s="1"/>
      <c r="C35" s="1"/>
      <c r="D35" s="1"/>
      <c r="E35" s="1"/>
      <c r="F35" s="1"/>
      <c r="G35" s="1"/>
    </row>
  </sheetData>
  <phoneticPr fontId="1" type="noConversion"/>
  <pageMargins left="0.7" right="0.7" top="0.75" bottom="0.75" header="0.3" footer="0.3"/>
  <pageSetup paperSize="9" orientation="portrait" r:id="rId1"/>
  <ignoredErrors>
    <ignoredError sqref="E21:E23 E25:E26 H5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Беличева Дарья Михайловна</dc:creator>
  <cp:lastModifiedBy>Дарья Беличева</cp:lastModifiedBy>
  <dcterms:created xsi:type="dcterms:W3CDTF">2023-09-15T15:25:15Z</dcterms:created>
  <dcterms:modified xsi:type="dcterms:W3CDTF">2023-09-16T17:26:47Z</dcterms:modified>
</cp:coreProperties>
</file>